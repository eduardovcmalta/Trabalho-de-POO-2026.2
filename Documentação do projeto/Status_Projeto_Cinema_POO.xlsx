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hecklist" sheetId="2" state="visible" r:id="rId4"/>
    <sheet name="Bugs" sheetId="3" state="visible" r:id="rId5"/>
    <sheet name="Ressalvas" sheetId="4" state="visible" r:id="rId6"/>
    <sheet name="Plano" sheetId="5" state="visible" r:id="rId7"/>
    <sheet name="Branches" sheetId="6" state="visible" r:id="rId8"/>
    <sheet name="Histórico" sheetId="7" state="visible" r:id="rId9"/>
  </sheets>
  <definedNames>
    <definedName function="false" hidden="true" localSheetId="1" name="_xlnm._FilterDatabase" vbProcedure="false">Checklist!$A$4:$E$28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<sst xmlns="http://schemas.openxmlformats.org/spreadsheetml/2006/main" count="399" uniqueCount="273">
  <si>
    <t xml:space="preserve">Projeto Cinema (POO) – Resumo de progresso</t>
  </si>
  <si>
    <t xml:space="preserve">Repositório eduardovcmalta/Trabalho-de-POO-2026.2 · branch dudu · commit 79e4d7f · verificação de 30/10/2026</t>
  </si>
  <si>
    <t xml:space="preserve">Peso de um item 'Parcial'</t>
  </si>
  <si>
    <t xml:space="preserve">Premissa: um item parcial vale meio item feito (editável).</t>
  </si>
  <si>
    <t xml:space="preserve">Etapa</t>
  </si>
  <si>
    <t xml:space="preserve">Total de itens</t>
  </si>
  <si>
    <t xml:space="preserve">Feito</t>
  </si>
  <si>
    <t xml:space="preserve">Parcial</t>
  </si>
  <si>
    <t xml:space="preserve">Faltando</t>
  </si>
  <si>
    <t xml:space="preserve">% concluído</t>
  </si>
  <si>
    <t xml:space="preserve">Etapa 1 – Classes</t>
  </si>
  <si>
    <t xml:space="preserve">Etapa 2 – Herança e sobrescrita</t>
  </si>
  <si>
    <t xml:space="preserve">Etapa 3 – Abstração e exceções</t>
  </si>
  <si>
    <t xml:space="preserve">Etapa 4 – Padrão de projeto</t>
  </si>
  <si>
    <t xml:space="preserve">TOTAL</t>
  </si>
  <si>
    <t xml:space="preserve">Bugs pendentes</t>
  </si>
  <si>
    <t xml:space="preserve">Bugs resolvidos</t>
  </si>
  <si>
    <t xml:space="preserve">Bugs adiados (decisão da equipe)</t>
  </si>
  <si>
    <t xml:space="preserve">Ressalvas em aberto</t>
  </si>
  <si>
    <t xml:space="preserve">Passos do plano concluídos</t>
  </si>
  <si>
    <t xml:space="preserve">Verificação (30/10/2026)</t>
  </si>
  <si>
    <t xml:space="preserve">• Código da dudu compila e o Main roda sem erro; verificador Req.java: 45 requisitos testados, 45 passam (valores informados do relatório da execução).</t>
  </si>
  <si>
    <t xml:space="preserve">• Auditoria por reflexão nas 13 classes: atributos private, métodos public e get/set completos.</t>
  </si>
  <si>
    <t xml:space="preserve">• Etapas 1, 2 e 3 completas. Falta a Etapa 4 (padrão de projeto e apresentação), que a equipe fará depois.</t>
  </si>
  <si>
    <t xml:space="preserve">• Ver a aba Ressalvas: horário passado (marcação manual), catálogo de filmes não ligado às sessões, compra sem bilhete e datas inconsistentes nos slides.</t>
  </si>
  <si>
    <t xml:space="preserve">Checklist por etapa – Projeto Cinema (POO)</t>
  </si>
  <si>
    <t xml:space="preserve">Base: branch dudu, commit 79e4d7f (30/10/2026). Status editável por lista (Feito / Parcial / Faltando). Evidência = auditoria por reflexão + verificador Req.java (45/45) + execução do Main.</t>
  </si>
  <si>
    <t xml:space="preserve">Item exigido (slides do professor)</t>
  </si>
  <si>
    <t xml:space="preserve">Status</t>
  </si>
  <si>
    <t xml:space="preserve">Onde está / evidência</t>
  </si>
  <si>
    <t xml:space="preserve">Responsável</t>
  </si>
  <si>
    <t xml:space="preserve">Classes Usuario, Sala, Sessao, Filme, Bilhete e Compra: construtores, get/set, atributos private e métodos public</t>
  </si>
  <si>
    <t xml:space="preserve">Auditoria por reflexão nas 13 classes: nenhum atributo fora de private, nenhum método fora de public, nenhum get/set faltando.</t>
  </si>
  <si>
    <t xml:space="preserve">Matriz de cadeiras 10x15 e sala com lista fixa de sessões (horário vazio = null e não aparece)</t>
  </si>
  <si>
    <t xml:space="preserve">Sessao: boolean[10][15]. Sala: 7 horários (08h–22h), como no exemplo do slide.</t>
  </si>
  <si>
    <t xml:space="preserve">Compra de um bilhete com escolha de poltrona livre</t>
  </si>
  <si>
    <t xml:space="preserve">Compra.comprarBilhete + Sessao.reservarCadeira; Sessao.exibirMapa mostra as livres.</t>
  </si>
  <si>
    <t xml:space="preserve">Compra de vários bilhetes com sugestão de cadeiras juntas</t>
  </si>
  <si>
    <t xml:space="preserve">Sessao.sugerirCadeiras + Compra.comprarVariosBilhetes; Compra.comprarBilhetes (tudo ou nada) para confirmar a sugestão.</t>
  </si>
  <si>
    <t xml:space="preserve">Usuário realizar, alterar e cancelar compra</t>
  </si>
  <si>
    <t xml:space="preserve">Usuario.realizarCompra/alterarCompra/cancelarCompra; cancelar libera as cadeiras e esvazia a Compra.</t>
  </si>
  <si>
    <t xml:space="preserve">Usuário busca as sessões em cada sala (filme + horário)</t>
  </si>
  <si>
    <t xml:space="preserve">Sala.exibirSessoesDisponiveis (sessões nulas não aparecem).</t>
  </si>
  <si>
    <t xml:space="preserve">Enum de produtos (5 ou 6), com nome (String) e valor (double), integrado à Compra</t>
  </si>
  <si>
    <t xml:space="preserve">Produtos: PIPOCA, NACHOS, REFRIGERANTE, CACHORRO_QUENTE, AGUA.</t>
  </si>
  <si>
    <t xml:space="preserve">Enum CupomPromocional com 3 cupons e seus descontos</t>
  </si>
  <si>
    <t xml:space="preserve">BEMVINDO10 (10%), QUARTAPROMOCIONAL (30%), PRIORITARIO (20%).</t>
  </si>
  <si>
    <t xml:space="preserve">Enum de salas: tipo e multiplicador (Comum 1.0, 3D 1.2, XD 1.3, XD/3D 1.4)</t>
  </si>
  <si>
    <t xml:space="preserve">TipoSala; valor do bilhete = valor do filme x multiplicador (testado nos 4 tipos).</t>
  </si>
  <si>
    <t xml:space="preserve">Estudante (herda de Usuario) paga metade do bilhete</t>
  </si>
  <si>
    <t xml:space="preserve">Estudante.calcularValorBilhete (R$ 20,00 -&gt; R$ 10,00).</t>
  </si>
  <si>
    <t xml:space="preserve">Critico (herda de Usuario) com 'origem', bilhete sempre zero; Filme com nota, quantidade_criticos e vetor critica[100]</t>
  </si>
  <si>
    <t xml:space="preserve">Critico.origem private; Filme: nota (double), quantidade_criticos (int), critica[100].</t>
  </si>
  <si>
    <t xml:space="preserve">Classe Critica (nome, origem, mensagem), atribuirNota (média, 0 a 10) e atribuirCritica (grava no fim do vetor)</t>
  </si>
  <si>
    <t xml:space="preserve">Critico.atribuirNota/atribuirCritica; nota 9 e 7 -&gt; média 8.0 com 2 críticos.</t>
  </si>
  <si>
    <t xml:space="preserve">Sobrecarga dos 2 métodos de compra com CupomPromocional</t>
  </si>
  <si>
    <t xml:space="preserve">comprarBilhete(..., cupom) e comprarProduto(produto, cupom); desconto aplicado (20 -&gt; 18; 10 -&gt; 9).</t>
  </si>
  <si>
    <t xml:space="preserve">Fluxo de compra: escolha da sala, depois filme/sessão (horário)</t>
  </si>
  <si>
    <t xml:space="preserve">Demonstrado no Main.</t>
  </si>
  <si>
    <t xml:space="preserve">VendasException – poltrona já selecionada</t>
  </si>
  <si>
    <t xml:space="preserve">Sessao.reservarCadeira lança VendasException (testado).</t>
  </si>
  <si>
    <t xml:space="preserve">VendasException – horário do filme já passou</t>
  </si>
  <si>
    <t xml:space="preserve">Sessao.horarioPassado (marcação manual). Ver aba Ressalvas, item 1.</t>
  </si>
  <si>
    <t xml:space="preserve">VendasException – filme fora de cartaz</t>
  </si>
  <si>
    <t xml:space="preserve">Filme.emCartaz; Compra.validarSessao (testado).</t>
  </si>
  <si>
    <t xml:space="preserve">Classe abstrata Base (nome, idade, email; abstratos adicionarUsuario e alterarUsuario)</t>
  </si>
  <si>
    <t xml:space="preserve">Base.java.</t>
  </si>
  <si>
    <t xml:space="preserve">Funcionario concreto (salário; implementa os abstratos e a interface de filmes)</t>
  </si>
  <si>
    <t xml:space="preserve">Funcionario altera dados no Repositorio (em memória); testado inclusão, alteração e exclusão.</t>
  </si>
  <si>
    <t xml:space="preserve">Administrador concreto (salário e ID; excluir usuário; gerência de filmes)</t>
  </si>
  <si>
    <t xml:space="preserve">Administrador.excluirUsuario e gerência de filmes; grava a cada alteração.</t>
  </si>
  <si>
    <t xml:space="preserve">Interface de gerência de filmes (incluir, excluir, alterar)</t>
  </si>
  <si>
    <t xml:space="preserve">Interfaces.GerenciaFilmes.</t>
  </si>
  <si>
    <t xml:space="preserve">Persistência de usuários e filmes sob responsabilidade do administrador</t>
  </si>
  <si>
    <t xml:space="preserve">Persistencia.Repositorio (arquivos .txt): salva e recarrega tipo, origem, emCartaz, nota e críticas.</t>
  </si>
  <si>
    <t xml:space="preserve">Escolher e aplicar padrão de projeto, com justificativa</t>
  </si>
  <si>
    <t xml:space="preserve">A cargo da equipe. Candidato natural: Repositorio (hoje recebido por construtor).</t>
  </si>
  <si>
    <t xml:space="preserve">Apresentação: 8 min + 10 min de perguntas</t>
  </si>
  <si>
    <t xml:space="preserve">Preparar slides e roteiro.</t>
  </si>
  <si>
    <t xml:space="preserve">Problemas encontrados e correções</t>
  </si>
  <si>
    <t xml:space="preserve">Status editável (Pendente / Resolvido / Adiado). Itens 1–9: análise de 26/10. Itens 10–18: análise de 28/10, resolvidos no commit 79e4d7f.</t>
  </si>
  <si>
    <t xml:space="preserve">#</t>
  </si>
  <si>
    <t xml:space="preserve">Arquivo</t>
  </si>
  <si>
    <t xml:space="preserve">Problema</t>
  </si>
  <si>
    <t xml:space="preserve">Correção</t>
  </si>
  <si>
    <t xml:space="preserve">Resolvido em</t>
  </si>
  <si>
    <t xml:space="preserve">Sala.java – exibirSessoesDisponiveis</t>
  </si>
  <si>
    <t xml:space="preserve">Imprimia Filme@hash em vez do nome do filme.</t>
  </si>
  <si>
    <t xml:space="preserve">Usar getFilme().getNome().</t>
  </si>
  <si>
    <t xml:space="preserve">Resolvido</t>
  </si>
  <si>
    <t xml:space="preserve">86510c6</t>
  </si>
  <si>
    <t xml:space="preserve">Critico.java – calcularValorBilhete</t>
  </si>
  <si>
    <t xml:space="preserve">'0 / super...' dava NaN se o valor fosse 0.</t>
  </si>
  <si>
    <t xml:space="preserve">Retornar 0.</t>
  </si>
  <si>
    <t xml:space="preserve">a6c9caf</t>
  </si>
  <si>
    <t xml:space="preserve">Critica / Critico</t>
  </si>
  <si>
    <t xml:space="preserve">atribuirNota e atribuirCritica estavam na classe errada.</t>
  </si>
  <si>
    <t xml:space="preserve">Mover para Critico.</t>
  </si>
  <si>
    <t xml:space="preserve">Critico.java – origem</t>
  </si>
  <si>
    <t xml:space="preserve">Atributo sem private.</t>
  </si>
  <si>
    <t xml:space="preserve">private + get/set.</t>
  </si>
  <si>
    <t xml:space="preserve">Enums/Cupons</t>
  </si>
  <si>
    <t xml:space="preserve">O enunciado pede o nome CupomPromocional.</t>
  </si>
  <si>
    <t xml:space="preserve">Renomear enum.</t>
  </si>
  <si>
    <t xml:space="preserve">96ef1ce</t>
  </si>
  <si>
    <t xml:space="preserve">Usuario.java – numerocartao</t>
  </si>
  <si>
    <t xml:space="preserve">Tipo int estourava com 16 dígitos.</t>
  </si>
  <si>
    <t xml:space="preserve">Usar String.</t>
  </si>
  <si>
    <t xml:space="preserve">Usuario.java – compra</t>
  </si>
  <si>
    <t xml:space="preserve">Atributo não era preenchido.</t>
  </si>
  <si>
    <t xml:space="preserve">Métodos realizar/alterar/cancelar compra no Usuario.</t>
  </si>
  <si>
    <t xml:space="preserve">971e9a4</t>
  </si>
  <si>
    <t xml:space="preserve">Repositório – .gitignore</t>
  </si>
  <si>
    <t xml:space="preserve">out/ e .idea/ estavam versionados.</t>
  </si>
  <si>
    <t xml:space="preserve">Criar .gitignore e remover do versionamento.</t>
  </si>
  <si>
    <t xml:space="preserve">3124a50</t>
  </si>
  <si>
    <t xml:space="preserve">Branches – main</t>
  </si>
  <si>
    <t xml:space="preserve">A main ficou atrás da dudu (19 commits).</t>
  </si>
  <si>
    <t xml:space="preserve">Decisão da equipe: main só recebe a versão final, depois da Etapa 4.</t>
  </si>
  <si>
    <t xml:space="preserve">Adiado</t>
  </si>
  <si>
    <t xml:space="preserve">—</t>
  </si>
  <si>
    <t xml:space="preserve">Funcionario.java</t>
  </si>
  <si>
    <t xml:space="preserve">Os 5 métodos só imprimiam 'lógica pendente'.</t>
  </si>
  <si>
    <t xml:space="preserve">Implementar usando o Repositorio.</t>
  </si>
  <si>
    <t xml:space="preserve">79e4d7f</t>
  </si>
  <si>
    <t xml:space="preserve">Administrador.java</t>
  </si>
  <si>
    <t xml:space="preserve">Persistência só de escrita: nada era lido de volta.</t>
  </si>
  <si>
    <t xml:space="preserve">Repositorio com carregar() e salvar().</t>
  </si>
  <si>
    <t xml:space="preserve">Persistência (usuários e filmes)</t>
  </si>
  <si>
    <t xml:space="preserve">Duplicava CPF; perdia tipo e origem do usuário e emCartaz, nota e críticas do filme; ';' na sinopse quebrava o arquivo.</t>
  </si>
  <si>
    <t xml:space="preserve">Repositorio valida chave única, grava tipo, origem, emCartaz, nota e críticas e protege o ';'.</t>
  </si>
  <si>
    <t xml:space="preserve">Sessao.java</t>
  </si>
  <si>
    <t xml:space="preserve">Faltava getCadeiras() e não havia como ver as cadeiras livres.</t>
  </si>
  <si>
    <t xml:space="preserve">getCadeiras(), isCadeiraValida, isCadeiraLivre e exibirMapa().</t>
  </si>
  <si>
    <t xml:space="preserve">Usuario.java – cancelar/alterar</t>
  </si>
  <si>
    <t xml:space="preserve">Compra cancelada continuava listando bilhetes; alterarCompra com a mesma compra liberava cadeiras e mantinha os bilhetes.</t>
  </si>
  <si>
    <t xml:space="preserve">cancelarCompra esvazia a Compra; alterarCompra recusa a mesma compra.</t>
  </si>
  <si>
    <t xml:space="preserve">Compra.java – valor do bilhete</t>
  </si>
  <si>
    <t xml:space="preserve">O cast (float) perdia precisão.</t>
  </si>
  <si>
    <t xml:space="preserve">Usar double.</t>
  </si>
  <si>
    <t xml:space="preserve">Sala.java</t>
  </si>
  <si>
    <t xml:space="preserve">Grade com 5 horários; o exemplo do slide tem 7 (08h–22h).</t>
  </si>
  <si>
    <t xml:space="preserve">Sala com 7 horários.</t>
  </si>
  <si>
    <t xml:space="preserve">Sala.obterHorario / Compra.validarSessao</t>
  </si>
  <si>
    <t xml:space="preserve">Métodos private; o enunciado exige métodos public.</t>
  </si>
  <si>
    <t xml:space="preserve">Tornar public.</t>
  </si>
  <si>
    <t xml:space="preserve">Main.java</t>
  </si>
  <si>
    <t xml:space="preserve">Só demonstrava parte dos requisitos.</t>
  </si>
  <si>
    <t xml:space="preserve">Demonstrar vários bilhetes, alterar, cancelar, 3 erros e persistência.</t>
  </si>
  <si>
    <t xml:space="preserve">Ressalvas e pontos de atenção</t>
  </si>
  <si>
    <t xml:space="preserve">Nada aqui impede o cumprimento dos slides das Etapas 1 a 3, mas convém decidir ou confirmar com o professor.</t>
  </si>
  <si>
    <t xml:space="preserve">Ressalva</t>
  </si>
  <si>
    <t xml:space="preserve">Impacto</t>
  </si>
  <si>
    <t xml:space="preserve">Recomendação</t>
  </si>
  <si>
    <t xml:space="preserve">Situação</t>
  </si>
  <si>
    <t xml:space="preserve">Horário passado: o erro depende de uma marcação manual (Sessao.setHorarioPassado). Nada compara com a hora atual.</t>
  </si>
  <si>
    <t xml:space="preserve">O slide da Etapa 1 manda não comparar com a hora atual, mas a Etapa 3 exige o erro de horário. Leitura ambígua.</t>
  </si>
  <si>
    <t xml:space="preserve">Confirmar com o professor. Se ele esperar comparação real, ligar a sessão a uma hora de início.</t>
  </si>
  <si>
    <t xml:space="preserve">Em aberto</t>
  </si>
  <si>
    <t xml:space="preserve">O catálogo de filmes do Repositorio não está ligado às Sessao/Sala.</t>
  </si>
  <si>
    <t xml:space="preserve">Excluir um filme no administrador não tira a sessão do ar; isso só acontece por Filme.setEmCartaz(false).</t>
  </si>
  <si>
    <t xml:space="preserve">Sem requisito a respeito. Estar pronto para explicar na apresentação.</t>
  </si>
  <si>
    <t xml:space="preserve">Slide da Etapa 1: a compra 'deve ter um ou mais bilhetes', mas Compra pode existir só com produtos ou vazia.</t>
  </si>
  <si>
    <t xml:space="preserve">Não há validação que exija pelo menos 1 bilhete.</t>
  </si>
  <si>
    <t xml:space="preserve">Decidir: manter assim (o resumo mostra 'nenhum ingresso') ou exigir 1 bilhete antes de produtos.</t>
  </si>
  <si>
    <t xml:space="preserve">Datas dos slides inconsistentes: capas com 08-2026, 06-2026 e xx-05-2026; calendários com 10/03, 27/03 e 24/04 de 2026; repositório com commits de set e out/2026.</t>
  </si>
  <si>
    <t xml:space="preserve">Prazos reais desconhecidos.</t>
  </si>
  <si>
    <t xml:space="preserve">Confirmar prazos de cada entrega com o professor.</t>
  </si>
  <si>
    <t xml:space="preserve">Peso e avaliação: os slides citam 30% para a Etapa 1 e dizem que as entregas 1 e 2 contam para o primeiro GQ; o slide da Etapa 4 diz que as 4 entregas somarão, mas a frase está cortada.</t>
  </si>
  <si>
    <t xml:space="preserve">Critérios de nota não estão completos nos slides.</t>
  </si>
  <si>
    <t xml:space="preserve">Confirmar com o professor como cada etapa é avaliada.</t>
  </si>
  <si>
    <t xml:space="preserve">Dados sensíveis (senha, número e código do cartão) gravados em texto puro nos arquivos .txt.</t>
  </si>
  <si>
    <t xml:space="preserve">Aceitável para trabalho acadêmico; inadequado em sistema real.</t>
  </si>
  <si>
    <t xml:space="preserve">Citar como limitação conhecida na apresentação.</t>
  </si>
  <si>
    <t xml:space="preserve">Aceito</t>
  </si>
  <si>
    <t xml:space="preserve">Persistência cobre usuários, filmes e críticas. Compras, bilhetes e cadeiras ocupadas não são gravados.</t>
  </si>
  <si>
    <t xml:space="preserve">O enunciado pede persistência só de usuário e filme.</t>
  </si>
  <si>
    <t xml:space="preserve">Nenhuma, salvo se o professor pedir mais.</t>
  </si>
  <si>
    <t xml:space="preserve">Funcionario altera os dados em memória; só o Administrador grava em arquivo.</t>
  </si>
  <si>
    <t xml:space="preserve">Segue o slide: o administrador é responsável pela persistência.</t>
  </si>
  <si>
    <t xml:space="preserve">Mostrar na demonstração: o funcionário inclui e o administrador salva.</t>
  </si>
  <si>
    <t xml:space="preserve">Sugestão de cadeiras: primeiro bloco livre na mesma fileira (de A para J), no máximo 15 cadeiras. Acima disso lança VendasException.</t>
  </si>
  <si>
    <t xml:space="preserve">Não escolhe o centro da sala.</t>
  </si>
  <si>
    <t xml:space="preserve">Se quiserem, preferir blocos perto do centro.</t>
  </si>
  <si>
    <t xml:space="preserve">A main está atrás da dudu (19 commits) por decisão da equipe. As branches guilherme e darwin estão contidas na dudu e obsoletas.</t>
  </si>
  <si>
    <t xml:space="preserve">Quem baixar a main pega a Etapa 1 inicial.</t>
  </si>
  <si>
    <t xml:space="preserve">Fazer o merge dudu -&gt; main só no final. Depois, apagar guilherme e darwin.</t>
  </si>
  <si>
    <t xml:space="preserve">Decidido</t>
  </si>
  <si>
    <t xml:space="preserve">Os métodos auxiliares private do Repositorio (limpar, serializar, lerUsuario, lerFilme) estão fora das classes listadas no enunciado.</t>
  </si>
  <si>
    <t xml:space="preserve">A regra 'métodos public' vale para as classes do enunciado.</t>
  </si>
  <si>
    <t xml:space="preserve">Se quiserem seguir a regra literalmente, tornar public.</t>
  </si>
  <si>
    <t xml:space="preserve">Os testes (Req.java) refletem a leitura dos slides por quem os escreveu e não substituem o critério do professor.</t>
  </si>
  <si>
    <t xml:space="preserve">Risco residual de interpretação diferente.</t>
  </si>
  <si>
    <t xml:space="preserve">Rodar uma demonstração completa antes da entrega.</t>
  </si>
  <si>
    <t xml:space="preserve">Plano do projeto</t>
  </si>
  <si>
    <t xml:space="preserve">Marque Sim/Não em Concluído. Responsável e Prazo são editáveis (prazos reais a confirmar com o professor).</t>
  </si>
  <si>
    <t xml:space="preserve">Passo</t>
  </si>
  <si>
    <t xml:space="preserve">Tarefa</t>
  </si>
  <si>
    <t xml:space="preserve">Detalhes</t>
  </si>
  <si>
    <t xml:space="preserve">Concluído?</t>
  </si>
  <si>
    <t xml:space="preserve">Prazo</t>
  </si>
  <si>
    <t xml:space="preserve">Criar .gitignore e limpar o repositório</t>
  </si>
  <si>
    <t xml:space="preserve">out/ e .idea/ fora do versionamento (commit 3124a50).</t>
  </si>
  <si>
    <t xml:space="preserve">Sim</t>
  </si>
  <si>
    <t xml:space="preserve">Corrigir os bugs da primeira análise</t>
  </si>
  <si>
    <t xml:space="preserve">Exibir sessões, cartão como String, nota como double (commits 86510c6 e a6c9caf).</t>
  </si>
  <si>
    <t xml:space="preserve">Fechar a Etapa 2</t>
  </si>
  <si>
    <t xml:space="preserve">Sobrecarga com cupom, Critico, CupomPromocional (commits 96ef1ce a 2e83397).</t>
  </si>
  <si>
    <t xml:space="preserve">Fechar a Etapa 1</t>
  </si>
  <si>
    <t xml:space="preserve">Sugestão de cadeiras, realizar/alterar/cancelar compra, getters e setters (commit 971e9a4 e 79e4d7f).</t>
  </si>
  <si>
    <t xml:space="preserve">Etapa 3 – Exceções</t>
  </si>
  <si>
    <t xml:space="preserve">VendasException com 3 erros (commit 51570d2).</t>
  </si>
  <si>
    <t xml:space="preserve">Etapa 3 – Hierarquia e persistência</t>
  </si>
  <si>
    <t xml:space="preserve">Base, Funcionario, Administrador, interface e Repositorio (commits 7c73165, 69709a7 e 79e4d7f).</t>
  </si>
  <si>
    <t xml:space="preserve">Confirmar dúvidas com o professor</t>
  </si>
  <si>
    <t xml:space="preserve">Horário passado, exigência de 1 bilhete por compra, prazos e pesos (aba Ressalvas).</t>
  </si>
  <si>
    <t xml:space="preserve">Não</t>
  </si>
  <si>
    <t xml:space="preserve">Escolher o padrão, aplicar e escrever a justificativa.</t>
  </si>
  <si>
    <t xml:space="preserve">Etapa 4 – Apresentação</t>
  </si>
  <si>
    <t xml:space="preserve">8 minutos de apresentação + 10 de perguntas.</t>
  </si>
  <si>
    <t xml:space="preserve">Merge final dudu -&gt; main</t>
  </si>
  <si>
    <t xml:space="preserve">Somente depois da Etapa 4 pronta; depois apagar guilherme e darwin.</t>
  </si>
  <si>
    <t xml:space="preserve">Situação das branches (30/10/2026)</t>
  </si>
  <si>
    <t xml:space="preserve">Branch</t>
  </si>
  <si>
    <t xml:space="preserve">Último commit</t>
  </si>
  <si>
    <t xml:space="preserve">Ação recomendada</t>
  </si>
  <si>
    <t xml:space="preserve">dudu</t>
  </si>
  <si>
    <t xml:space="preserve">79e4d7f (30/10)</t>
  </si>
  <si>
    <t xml:space="preserve">Branch de integração: Etapas 1 a 3 completas.</t>
  </si>
  <si>
    <t xml:space="preserve">Continuar a Etapa 4 a partir dela.</t>
  </si>
  <si>
    <t xml:space="preserve">main</t>
  </si>
  <si>
    <t xml:space="preserve">e21b74a (21/09)</t>
  </si>
  <si>
    <t xml:space="preserve">19 commits atrás da dudu, por decisão da equipe.</t>
  </si>
  <si>
    <t xml:space="preserve">Receber a dudu só no final.</t>
  </si>
  <si>
    <t xml:space="preserve">guilherme</t>
  </si>
  <si>
    <t xml:space="preserve">0345ef5 (24/09)</t>
  </si>
  <si>
    <t xml:space="preserve">Contida na dudu (13 commits atrás).</t>
  </si>
  <si>
    <t xml:space="preserve">Pode ser apagada depois do merge final.</t>
  </si>
  <si>
    <t xml:space="preserve">darwin</t>
  </si>
  <si>
    <t xml:space="preserve">e54f221 (24/09)</t>
  </si>
  <si>
    <t xml:space="preserve">Contida na dudu (14 commits atrás).</t>
  </si>
  <si>
    <t xml:space="preserve">Histórico de commits relevantes (branch dudu)</t>
  </si>
  <si>
    <t xml:space="preserve">Data</t>
  </si>
  <si>
    <t xml:space="preserve">Commit</t>
  </si>
  <si>
    <t xml:space="preserve">Autor</t>
  </si>
  <si>
    <t xml:space="preserve">O que mudou</t>
  </si>
  <si>
    <t xml:space="preserve">17–24/09</t>
  </si>
  <si>
    <t xml:space="preserve">e61a9c4 … 0345ef5</t>
  </si>
  <si>
    <t xml:space="preserve">Darwin e Guilherme</t>
  </si>
  <si>
    <t xml:space="preserve">Esqueleto da Etapa 1, enums, Critico/Critica, vetor de críticas.</t>
  </si>
  <si>
    <t xml:space="preserve">27/10</t>
  </si>
  <si>
    <t xml:space="preserve">Eduardo Malta</t>
  </si>
  <si>
    <t xml:space="preserve">.gitignore; remove out/ e .idea/.</t>
  </si>
  <si>
    <t xml:space="preserve">34b4a6f, 86510c6</t>
  </si>
  <si>
    <t xml:space="preserve">Corrige exibir sessões, cartão como String, nota como double.</t>
  </si>
  <si>
    <t xml:space="preserve">Renomeia Cupons para CupomPromocional.</t>
  </si>
  <si>
    <t xml:space="preserve">Move atribuirNota/atribuirCritica para Critico; origem private.</t>
  </si>
  <si>
    <t xml:space="preserve">b141cfe</t>
  </si>
  <si>
    <t xml:space="preserve">Sobrecarga de comprarProduto com cupom.</t>
  </si>
  <si>
    <t xml:space="preserve">2e83397</t>
  </si>
  <si>
    <t xml:space="preserve">Testes da Etapa 2 no Main.</t>
  </si>
  <si>
    <t xml:space="preserve">28/10</t>
  </si>
  <si>
    <t xml:space="preserve">Etapa 1: sugestão de cadeiras, métodos de compra no Usuario, getters/setters.</t>
  </si>
  <si>
    <t xml:space="preserve">7c73165</t>
  </si>
  <si>
    <t xml:space="preserve">Etapa 3: Base, Administrador, Funcionario e interface GerenciaFilmes.</t>
  </si>
  <si>
    <t xml:space="preserve">69709a7</t>
  </si>
  <si>
    <t xml:space="preserve">Etapa 3: herança e persistência em txt.</t>
  </si>
  <si>
    <t xml:space="preserve">51570d2</t>
  </si>
  <si>
    <t xml:space="preserve">Etapa 3: VendasException e bloqueio de compras inválidas.</t>
  </si>
  <si>
    <t xml:space="preserve">3b880ee</t>
  </si>
  <si>
    <t xml:space="preserve">horarioPassado passa a private.</t>
  </si>
  <si>
    <t xml:space="preserve">30/10</t>
  </si>
  <si>
    <t xml:space="preserve">Etapas 1–3: correções e persistência via Repositorio (45/45 no verificador).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</si>
</sst>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EB9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5" min="3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0.5</v>
      </c>
      <c r="C4" s="2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n">
        <f aca="false">COUNTIF(Checklist!$A$5:$A$28,$A7)</f>
        <v>6</v>
      </c>
      <c r="C7" s="7" t="n">
        <f aca="false">COUNTIFS(Checklist!$A$5:$A$28,$A7,Checklist!$C$5:$C$28,"Feito")</f>
        <v>6</v>
      </c>
      <c r="D7" s="7" t="n">
        <f aca="false">COUNTIFS(Checklist!$A$5:$A$28,$A7,Checklist!$C$5:$C$28,"Parcial")</f>
        <v>0</v>
      </c>
      <c r="E7" s="7" t="n">
        <f aca="false">COUNTIFS(Checklist!$A$5:$A$28,$A7,Checklist!$C$5:$C$28,"Faltando")</f>
        <v>0</v>
      </c>
      <c r="F7" s="8" t="n">
        <f aca="false">IF(B7=0,0,(C7+$B$4*D7)/B7)</f>
        <v>1</v>
      </c>
    </row>
    <row r="8" customFormat="false" ht="15" hidden="false" customHeight="false" outlineLevel="0" collapsed="false">
      <c r="A8" s="6" t="s">
        <v>11</v>
      </c>
      <c r="B8" s="7" t="n">
        <f aca="false">COUNTIF(Checklist!$A$5:$A$28,$A8)</f>
        <v>8</v>
      </c>
      <c r="C8" s="7" t="n">
        <f aca="false">COUNTIFS(Checklist!$A$5:$A$28,$A8,Checklist!$C$5:$C$28,"Feito")</f>
        <v>8</v>
      </c>
      <c r="D8" s="7" t="n">
        <f aca="false">COUNTIFS(Checklist!$A$5:$A$28,$A8,Checklist!$C$5:$C$28,"Parcial")</f>
        <v>0</v>
      </c>
      <c r="E8" s="7" t="n">
        <f aca="false">COUNTIFS(Checklist!$A$5:$A$28,$A8,Checklist!$C$5:$C$28,"Faltando")</f>
        <v>0</v>
      </c>
      <c r="F8" s="8" t="n">
        <f aca="false">IF(B8=0,0,(C8+$B$4*D8)/B8)</f>
        <v>1</v>
      </c>
    </row>
    <row r="9" customFormat="false" ht="15" hidden="false" customHeight="false" outlineLevel="0" collapsed="false">
      <c r="A9" s="6" t="s">
        <v>12</v>
      </c>
      <c r="B9" s="7" t="n">
        <f aca="false">COUNTIF(Checklist!$A$5:$A$28,$A9)</f>
        <v>8</v>
      </c>
      <c r="C9" s="7" t="n">
        <f aca="false">COUNTIFS(Checklist!$A$5:$A$28,$A9,Checklist!$C$5:$C$28,"Feito")</f>
        <v>8</v>
      </c>
      <c r="D9" s="7" t="n">
        <f aca="false">COUNTIFS(Checklist!$A$5:$A$28,$A9,Checklist!$C$5:$C$28,"Parcial")</f>
        <v>0</v>
      </c>
      <c r="E9" s="7" t="n">
        <f aca="false">COUNTIFS(Checklist!$A$5:$A$28,$A9,Checklist!$C$5:$C$28,"Faltando")</f>
        <v>0</v>
      </c>
      <c r="F9" s="8" t="n">
        <f aca="false">IF(B9=0,0,(C9+$B$4*D9)/B9)</f>
        <v>1</v>
      </c>
    </row>
    <row r="10" customFormat="false" ht="15" hidden="false" customHeight="false" outlineLevel="0" collapsed="false">
      <c r="A10" s="6" t="s">
        <v>13</v>
      </c>
      <c r="B10" s="7" t="n">
        <f aca="false">COUNTIF(Checklist!$A$5:$A$28,$A10)</f>
        <v>2</v>
      </c>
      <c r="C10" s="7" t="n">
        <f aca="false">COUNTIFS(Checklist!$A$5:$A$28,$A10,Checklist!$C$5:$C$28,"Feito")</f>
        <v>0</v>
      </c>
      <c r="D10" s="7" t="n">
        <f aca="false">COUNTIFS(Checklist!$A$5:$A$28,$A10,Checklist!$C$5:$C$28,"Parcial")</f>
        <v>0</v>
      </c>
      <c r="E10" s="7" t="n">
        <f aca="false">COUNTIFS(Checklist!$A$5:$A$28,$A10,Checklist!$C$5:$C$28,"Faltando")</f>
        <v>2</v>
      </c>
      <c r="F10" s="8" t="n">
        <f aca="false">IF(B10=0,0,(C10+$B$4*D10)/B10)</f>
        <v>0</v>
      </c>
    </row>
    <row r="11" customFormat="false" ht="15" hidden="false" customHeight="false" outlineLevel="0" collapsed="false">
      <c r="A11" s="9" t="s">
        <v>14</v>
      </c>
      <c r="B11" s="10" t="n">
        <f aca="false">SUM(B7:B10)</f>
        <v>24</v>
      </c>
      <c r="C11" s="10" t="n">
        <f aca="false">SUM(C7:C10)</f>
        <v>22</v>
      </c>
      <c r="D11" s="10" t="n">
        <f aca="false">SUM(D7:D10)</f>
        <v>0</v>
      </c>
      <c r="E11" s="10" t="n">
        <f aca="false">SUM(E7:E10)</f>
        <v>2</v>
      </c>
      <c r="F11" s="11" t="n">
        <f aca="false">IF(B11=0,0,(C11+$B$4*D11)/B11)</f>
        <v>0.916666666666667</v>
      </c>
    </row>
    <row r="13" customFormat="false" ht="15" hidden="false" customHeight="false" outlineLevel="0" collapsed="false">
      <c r="A13" s="12" t="s">
        <v>15</v>
      </c>
      <c r="B13" s="13" t="n">
        <f aca="false">COUNTIF(Bugs!$E$5:$E$22,"Pendente")</f>
        <v>0</v>
      </c>
    </row>
    <row r="14" customFormat="false" ht="15" hidden="false" customHeight="false" outlineLevel="0" collapsed="false">
      <c r="A14" s="12" t="s">
        <v>16</v>
      </c>
      <c r="B14" s="13" t="n">
        <f aca="false">COUNTIF(Bugs!$E$5:$E$22,"Resolvido")</f>
        <v>17</v>
      </c>
    </row>
    <row r="15" customFormat="false" ht="15" hidden="false" customHeight="false" outlineLevel="0" collapsed="false">
      <c r="A15" s="12" t="s">
        <v>17</v>
      </c>
      <c r="B15" s="13" t="n">
        <f aca="false">COUNTIF(Bugs!$E$5:$E$22,"Adiado")</f>
        <v>1</v>
      </c>
    </row>
    <row r="16" customFormat="false" ht="15" hidden="false" customHeight="false" outlineLevel="0" collapsed="false">
      <c r="A16" s="12" t="s">
        <v>18</v>
      </c>
      <c r="B16" s="13" t="n">
        <f aca="false">COUNTIF(Ressalvas!$E$5:$E$16,"Em aberto")</f>
        <v>6</v>
      </c>
    </row>
    <row r="17" customFormat="false" ht="15" hidden="false" customHeight="false" outlineLevel="0" collapsed="false">
      <c r="A17" s="12" t="s">
        <v>19</v>
      </c>
      <c r="B17" s="13" t="str">
        <f aca="false">COUNTIF(Plano!$D$5:$D$14,"Sim")&amp;" de "&amp;COUNTA(Plano!$B$5:$B$14)</f>
        <v>6 de 10</v>
      </c>
    </row>
    <row r="19" customFormat="false" ht="15" hidden="false" customHeight="false" outlineLevel="0" collapsed="false">
      <c r="A19" s="3" t="s">
        <v>20</v>
      </c>
    </row>
    <row r="20" customFormat="false" ht="30" hidden="false" customHeight="true" outlineLevel="0" collapsed="false">
      <c r="A20" s="14" t="s">
        <v>21</v>
      </c>
      <c r="B20" s="14"/>
      <c r="C20" s="14"/>
      <c r="D20" s="14"/>
      <c r="E20" s="14"/>
      <c r="F20" s="14"/>
    </row>
    <row r="21" customFormat="false" ht="30" hidden="false" customHeight="true" outlineLevel="0" collapsed="false">
      <c r="A21" s="14" t="s">
        <v>22</v>
      </c>
      <c r="B21" s="14"/>
      <c r="C21" s="14"/>
      <c r="D21" s="14"/>
      <c r="E21" s="14"/>
      <c r="F21" s="14"/>
    </row>
    <row r="22" customFormat="false" ht="30" hidden="false" customHeight="true" outlineLevel="0" collapsed="false">
      <c r="A22" s="14" t="s">
        <v>23</v>
      </c>
      <c r="B22" s="14"/>
      <c r="C22" s="14"/>
      <c r="D22" s="14"/>
      <c r="E22" s="14"/>
      <c r="F22" s="14"/>
    </row>
    <row r="23" customFormat="false" ht="30" hidden="false" customHeight="true" outlineLevel="0" collapsed="false">
      <c r="A23" s="14" t="s">
        <v>24</v>
      </c>
      <c r="B23" s="14"/>
      <c r="C23" s="14"/>
      <c r="D23" s="14"/>
      <c r="E23" s="14"/>
      <c r="F23" s="14"/>
    </row>
  </sheetData>
  <mergeCells count="4"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4" min="4" style="0" width="6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5" t="s">
        <v>4</v>
      </c>
      <c r="B4" s="5" t="s">
        <v>27</v>
      </c>
      <c r="C4" s="5" t="s">
        <v>28</v>
      </c>
      <c r="D4" s="5" t="s">
        <v>29</v>
      </c>
      <c r="E4" s="5" t="s">
        <v>30</v>
      </c>
    </row>
    <row r="5" customFormat="false" ht="23.85" hidden="false" customHeight="false" outlineLevel="0" collapsed="false">
      <c r="A5" s="15" t="s">
        <v>10</v>
      </c>
      <c r="B5" s="15" t="s">
        <v>31</v>
      </c>
      <c r="C5" s="16" t="s">
        <v>6</v>
      </c>
      <c r="D5" s="15" t="s">
        <v>32</v>
      </c>
      <c r="E5" s="15"/>
    </row>
    <row r="6" customFormat="false" ht="23.85" hidden="false" customHeight="false" outlineLevel="0" collapsed="false">
      <c r="A6" s="15" t="s">
        <v>10</v>
      </c>
      <c r="B6" s="15" t="s">
        <v>33</v>
      </c>
      <c r="C6" s="16" t="s">
        <v>6</v>
      </c>
      <c r="D6" s="15" t="s">
        <v>34</v>
      </c>
      <c r="E6" s="15"/>
    </row>
    <row r="7" customFormat="false" ht="23.85" hidden="false" customHeight="false" outlineLevel="0" collapsed="false">
      <c r="A7" s="15" t="s">
        <v>10</v>
      </c>
      <c r="B7" s="15" t="s">
        <v>35</v>
      </c>
      <c r="C7" s="16" t="s">
        <v>6</v>
      </c>
      <c r="D7" s="15" t="s">
        <v>36</v>
      </c>
      <c r="E7" s="15"/>
    </row>
    <row r="8" customFormat="false" ht="23.85" hidden="false" customHeight="false" outlineLevel="0" collapsed="false">
      <c r="A8" s="15" t="s">
        <v>10</v>
      </c>
      <c r="B8" s="15" t="s">
        <v>37</v>
      </c>
      <c r="C8" s="16" t="s">
        <v>6</v>
      </c>
      <c r="D8" s="15" t="s">
        <v>38</v>
      </c>
      <c r="E8" s="15"/>
    </row>
    <row r="9" customFormat="false" ht="23.85" hidden="false" customHeight="false" outlineLevel="0" collapsed="false">
      <c r="A9" s="15" t="s">
        <v>10</v>
      </c>
      <c r="B9" s="15" t="s">
        <v>39</v>
      </c>
      <c r="C9" s="16" t="s">
        <v>6</v>
      </c>
      <c r="D9" s="15" t="s">
        <v>40</v>
      </c>
      <c r="E9" s="15"/>
    </row>
    <row r="10" customFormat="false" ht="15" hidden="false" customHeight="false" outlineLevel="0" collapsed="false">
      <c r="A10" s="15" t="s">
        <v>10</v>
      </c>
      <c r="B10" s="15" t="s">
        <v>41</v>
      </c>
      <c r="C10" s="16" t="s">
        <v>6</v>
      </c>
      <c r="D10" s="15" t="s">
        <v>42</v>
      </c>
      <c r="E10" s="15"/>
    </row>
    <row r="11" customFormat="false" ht="23.85" hidden="false" customHeight="false" outlineLevel="0" collapsed="false">
      <c r="A11" s="15" t="s">
        <v>11</v>
      </c>
      <c r="B11" s="15" t="s">
        <v>43</v>
      </c>
      <c r="C11" s="16" t="s">
        <v>6</v>
      </c>
      <c r="D11" s="15" t="s">
        <v>44</v>
      </c>
      <c r="E11" s="15"/>
    </row>
    <row r="12" customFormat="false" ht="15" hidden="false" customHeight="false" outlineLevel="0" collapsed="false">
      <c r="A12" s="15" t="s">
        <v>11</v>
      </c>
      <c r="B12" s="15" t="s">
        <v>45</v>
      </c>
      <c r="C12" s="16" t="s">
        <v>6</v>
      </c>
      <c r="D12" s="15" t="s">
        <v>46</v>
      </c>
      <c r="E12" s="15"/>
    </row>
    <row r="13" customFormat="false" ht="15" hidden="false" customHeight="false" outlineLevel="0" collapsed="false">
      <c r="A13" s="15" t="s">
        <v>11</v>
      </c>
      <c r="B13" s="15" t="s">
        <v>47</v>
      </c>
      <c r="C13" s="16" t="s">
        <v>6</v>
      </c>
      <c r="D13" s="15" t="s">
        <v>48</v>
      </c>
      <c r="E13" s="15"/>
    </row>
    <row r="14" customFormat="false" ht="15" hidden="false" customHeight="false" outlineLevel="0" collapsed="false">
      <c r="A14" s="15" t="s">
        <v>11</v>
      </c>
      <c r="B14" s="15" t="s">
        <v>49</v>
      </c>
      <c r="C14" s="16" t="s">
        <v>6</v>
      </c>
      <c r="D14" s="15" t="s">
        <v>50</v>
      </c>
      <c r="E14" s="15"/>
    </row>
    <row r="15" customFormat="false" ht="23.85" hidden="false" customHeight="false" outlineLevel="0" collapsed="false">
      <c r="A15" s="15" t="s">
        <v>11</v>
      </c>
      <c r="B15" s="15" t="s">
        <v>51</v>
      </c>
      <c r="C15" s="16" t="s">
        <v>6</v>
      </c>
      <c r="D15" s="15" t="s">
        <v>52</v>
      </c>
      <c r="E15" s="15"/>
    </row>
    <row r="16" customFormat="false" ht="23.85" hidden="false" customHeight="false" outlineLevel="0" collapsed="false">
      <c r="A16" s="15" t="s">
        <v>11</v>
      </c>
      <c r="B16" s="15" t="s">
        <v>53</v>
      </c>
      <c r="C16" s="16" t="s">
        <v>6</v>
      </c>
      <c r="D16" s="15" t="s">
        <v>54</v>
      </c>
      <c r="E16" s="15"/>
    </row>
    <row r="17" customFormat="false" ht="23.85" hidden="false" customHeight="false" outlineLevel="0" collapsed="false">
      <c r="A17" s="15" t="s">
        <v>11</v>
      </c>
      <c r="B17" s="15" t="s">
        <v>55</v>
      </c>
      <c r="C17" s="16" t="s">
        <v>6</v>
      </c>
      <c r="D17" s="15" t="s">
        <v>56</v>
      </c>
      <c r="E17" s="15"/>
    </row>
    <row r="18" customFormat="false" ht="15" hidden="false" customHeight="false" outlineLevel="0" collapsed="false">
      <c r="A18" s="15" t="s">
        <v>11</v>
      </c>
      <c r="B18" s="15" t="s">
        <v>57</v>
      </c>
      <c r="C18" s="16" t="s">
        <v>6</v>
      </c>
      <c r="D18" s="15" t="s">
        <v>58</v>
      </c>
      <c r="E18" s="15"/>
    </row>
    <row r="19" customFormat="false" ht="15" hidden="false" customHeight="false" outlineLevel="0" collapsed="false">
      <c r="A19" s="15" t="s">
        <v>12</v>
      </c>
      <c r="B19" s="15" t="s">
        <v>59</v>
      </c>
      <c r="C19" s="16" t="s">
        <v>6</v>
      </c>
      <c r="D19" s="15" t="s">
        <v>60</v>
      </c>
      <c r="E19" s="15"/>
    </row>
    <row r="20" customFormat="false" ht="15" hidden="false" customHeight="false" outlineLevel="0" collapsed="false">
      <c r="A20" s="15" t="s">
        <v>12</v>
      </c>
      <c r="B20" s="15" t="s">
        <v>61</v>
      </c>
      <c r="C20" s="16" t="s">
        <v>6</v>
      </c>
      <c r="D20" s="15" t="s">
        <v>62</v>
      </c>
      <c r="E20" s="15"/>
    </row>
    <row r="21" customFormat="false" ht="15" hidden="false" customHeight="false" outlineLevel="0" collapsed="false">
      <c r="A21" s="15" t="s">
        <v>12</v>
      </c>
      <c r="B21" s="15" t="s">
        <v>63</v>
      </c>
      <c r="C21" s="16" t="s">
        <v>6</v>
      </c>
      <c r="D21" s="15" t="s">
        <v>64</v>
      </c>
      <c r="E21" s="15"/>
    </row>
    <row r="22" customFormat="false" ht="23.85" hidden="false" customHeight="false" outlineLevel="0" collapsed="false">
      <c r="A22" s="15" t="s">
        <v>12</v>
      </c>
      <c r="B22" s="15" t="s">
        <v>65</v>
      </c>
      <c r="C22" s="16" t="s">
        <v>6</v>
      </c>
      <c r="D22" s="15" t="s">
        <v>66</v>
      </c>
      <c r="E22" s="15"/>
    </row>
    <row r="23" customFormat="false" ht="23.85" hidden="false" customHeight="false" outlineLevel="0" collapsed="false">
      <c r="A23" s="15" t="s">
        <v>12</v>
      </c>
      <c r="B23" s="15" t="s">
        <v>67</v>
      </c>
      <c r="C23" s="16" t="s">
        <v>6</v>
      </c>
      <c r="D23" s="15" t="s">
        <v>68</v>
      </c>
      <c r="E23" s="15"/>
    </row>
    <row r="24" customFormat="false" ht="15" hidden="false" customHeight="false" outlineLevel="0" collapsed="false">
      <c r="A24" s="15" t="s">
        <v>12</v>
      </c>
      <c r="B24" s="15" t="s">
        <v>69</v>
      </c>
      <c r="C24" s="16" t="s">
        <v>6</v>
      </c>
      <c r="D24" s="15" t="s">
        <v>70</v>
      </c>
      <c r="E24" s="15"/>
    </row>
    <row r="25" customFormat="false" ht="15" hidden="false" customHeight="false" outlineLevel="0" collapsed="false">
      <c r="A25" s="15" t="s">
        <v>12</v>
      </c>
      <c r="B25" s="15" t="s">
        <v>71</v>
      </c>
      <c r="C25" s="16" t="s">
        <v>6</v>
      </c>
      <c r="D25" s="15" t="s">
        <v>72</v>
      </c>
      <c r="E25" s="15"/>
    </row>
    <row r="26" customFormat="false" ht="23.85" hidden="false" customHeight="false" outlineLevel="0" collapsed="false">
      <c r="A26" s="15" t="s">
        <v>12</v>
      </c>
      <c r="B26" s="15" t="s">
        <v>73</v>
      </c>
      <c r="C26" s="16" t="s">
        <v>6</v>
      </c>
      <c r="D26" s="15" t="s">
        <v>74</v>
      </c>
      <c r="E26" s="15"/>
    </row>
    <row r="27" customFormat="false" ht="15" hidden="false" customHeight="false" outlineLevel="0" collapsed="false">
      <c r="A27" s="15" t="s">
        <v>13</v>
      </c>
      <c r="B27" s="15" t="s">
        <v>75</v>
      </c>
      <c r="C27" s="16" t="s">
        <v>8</v>
      </c>
      <c r="D27" s="15" t="s">
        <v>76</v>
      </c>
      <c r="E27" s="15"/>
    </row>
    <row r="28" customFormat="false" ht="15" hidden="false" customHeight="false" outlineLevel="0" collapsed="false">
      <c r="A28" s="15" t="s">
        <v>13</v>
      </c>
      <c r="B28" s="15" t="s">
        <v>77</v>
      </c>
      <c r="C28" s="16" t="s">
        <v>8</v>
      </c>
      <c r="D28" s="15" t="s">
        <v>78</v>
      </c>
      <c r="E28" s="15"/>
    </row>
  </sheetData>
  <autoFilter ref="A4:E28"/>
  <conditionalFormatting sqref="C5:C28">
    <cfRule type="cellIs" priority="2" operator="equal" aboveAverage="0" equalAverage="0" bottom="0" percent="0" rank="0" text="" dxfId="7">
      <formula>"Feito"</formula>
    </cfRule>
    <cfRule type="cellIs" priority="3" operator="equal" aboveAverage="0" equalAverage="0" bottom="0" percent="0" rank="0" text="" dxfId="8">
      <formula>"Parcial"</formula>
    </cfRule>
    <cfRule type="cellIs" priority="4" operator="equal" aboveAverage="0" equalAverage="0" bottom="0" percent="0" rank="0" text="" dxfId="9">
      <formula>"Faltando"</formula>
    </cfRule>
  </conditionalFormatting>
  <dataValidations count="1">
    <dataValidation allowBlank="false" errorStyle="stop" operator="between" showDropDown="false" showErrorMessage="false" showInputMessage="false" sqref="C5:C28" type="list">
      <formula1>"Feito,Parcial,Faltando"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5" t="s">
        <v>81</v>
      </c>
      <c r="B4" s="5" t="s">
        <v>82</v>
      </c>
      <c r="C4" s="5" t="s">
        <v>83</v>
      </c>
      <c r="D4" s="5" t="s">
        <v>84</v>
      </c>
      <c r="E4" s="5" t="s">
        <v>28</v>
      </c>
      <c r="F4" s="5" t="s">
        <v>85</v>
      </c>
      <c r="G4" s="5" t="s">
        <v>30</v>
      </c>
    </row>
    <row r="5" customFormat="false" ht="15" hidden="false" customHeight="false" outlineLevel="0" collapsed="false">
      <c r="A5" s="16" t="n">
        <v>1</v>
      </c>
      <c r="B5" s="15" t="s">
        <v>86</v>
      </c>
      <c r="C5" s="15" t="s">
        <v>87</v>
      </c>
      <c r="D5" s="15" t="s">
        <v>88</v>
      </c>
      <c r="E5" s="16" t="s">
        <v>89</v>
      </c>
      <c r="F5" s="16" t="s">
        <v>90</v>
      </c>
      <c r="G5" s="15"/>
    </row>
    <row r="6" customFormat="false" ht="15" hidden="false" customHeight="false" outlineLevel="0" collapsed="false">
      <c r="A6" s="16" t="n">
        <v>2</v>
      </c>
      <c r="B6" s="15" t="s">
        <v>91</v>
      </c>
      <c r="C6" s="15" t="s">
        <v>92</v>
      </c>
      <c r="D6" s="15" t="s">
        <v>93</v>
      </c>
      <c r="E6" s="16" t="s">
        <v>89</v>
      </c>
      <c r="F6" s="16" t="s">
        <v>94</v>
      </c>
      <c r="G6" s="15"/>
    </row>
    <row r="7" customFormat="false" ht="15" hidden="false" customHeight="false" outlineLevel="0" collapsed="false">
      <c r="A7" s="16" t="n">
        <v>3</v>
      </c>
      <c r="B7" s="15" t="s">
        <v>95</v>
      </c>
      <c r="C7" s="15" t="s">
        <v>96</v>
      </c>
      <c r="D7" s="15" t="s">
        <v>97</v>
      </c>
      <c r="E7" s="16" t="s">
        <v>89</v>
      </c>
      <c r="F7" s="16" t="s">
        <v>94</v>
      </c>
      <c r="G7" s="15"/>
    </row>
    <row r="8" customFormat="false" ht="15" hidden="false" customHeight="false" outlineLevel="0" collapsed="false">
      <c r="A8" s="16" t="n">
        <v>4</v>
      </c>
      <c r="B8" s="15" t="s">
        <v>98</v>
      </c>
      <c r="C8" s="15" t="s">
        <v>99</v>
      </c>
      <c r="D8" s="15" t="s">
        <v>100</v>
      </c>
      <c r="E8" s="16" t="s">
        <v>89</v>
      </c>
      <c r="F8" s="16" t="s">
        <v>94</v>
      </c>
      <c r="G8" s="15"/>
    </row>
    <row r="9" customFormat="false" ht="15" hidden="false" customHeight="false" outlineLevel="0" collapsed="false">
      <c r="A9" s="16" t="n">
        <v>5</v>
      </c>
      <c r="B9" s="15" t="s">
        <v>101</v>
      </c>
      <c r="C9" s="15" t="s">
        <v>102</v>
      </c>
      <c r="D9" s="15" t="s">
        <v>103</v>
      </c>
      <c r="E9" s="16" t="s">
        <v>89</v>
      </c>
      <c r="F9" s="16" t="s">
        <v>104</v>
      </c>
      <c r="G9" s="15"/>
    </row>
    <row r="10" customFormat="false" ht="15" hidden="false" customHeight="false" outlineLevel="0" collapsed="false">
      <c r="A10" s="16" t="n">
        <v>6</v>
      </c>
      <c r="B10" s="15" t="s">
        <v>105</v>
      </c>
      <c r="C10" s="15" t="s">
        <v>106</v>
      </c>
      <c r="D10" s="15" t="s">
        <v>107</v>
      </c>
      <c r="E10" s="16" t="s">
        <v>89</v>
      </c>
      <c r="F10" s="16" t="s">
        <v>90</v>
      </c>
      <c r="G10" s="15"/>
    </row>
    <row r="11" customFormat="false" ht="15" hidden="false" customHeight="false" outlineLevel="0" collapsed="false">
      <c r="A11" s="16" t="n">
        <v>7</v>
      </c>
      <c r="B11" s="15" t="s">
        <v>108</v>
      </c>
      <c r="C11" s="15" t="s">
        <v>109</v>
      </c>
      <c r="D11" s="15" t="s">
        <v>110</v>
      </c>
      <c r="E11" s="16" t="s">
        <v>89</v>
      </c>
      <c r="F11" s="16" t="s">
        <v>111</v>
      </c>
      <c r="G11" s="15"/>
    </row>
    <row r="12" customFormat="false" ht="15" hidden="false" customHeight="false" outlineLevel="0" collapsed="false">
      <c r="A12" s="16" t="n">
        <v>8</v>
      </c>
      <c r="B12" s="15" t="s">
        <v>112</v>
      </c>
      <c r="C12" s="15" t="s">
        <v>113</v>
      </c>
      <c r="D12" s="15" t="s">
        <v>114</v>
      </c>
      <c r="E12" s="16" t="s">
        <v>89</v>
      </c>
      <c r="F12" s="16" t="s">
        <v>115</v>
      </c>
      <c r="G12" s="15"/>
    </row>
    <row r="13" customFormat="false" ht="23.85" hidden="false" customHeight="false" outlineLevel="0" collapsed="false">
      <c r="A13" s="16" t="n">
        <v>9</v>
      </c>
      <c r="B13" s="15" t="s">
        <v>116</v>
      </c>
      <c r="C13" s="15" t="s">
        <v>117</v>
      </c>
      <c r="D13" s="15" t="s">
        <v>118</v>
      </c>
      <c r="E13" s="16" t="s">
        <v>119</v>
      </c>
      <c r="F13" s="16" t="s">
        <v>120</v>
      </c>
      <c r="G13" s="15"/>
    </row>
    <row r="14" customFormat="false" ht="15" hidden="false" customHeight="false" outlineLevel="0" collapsed="false">
      <c r="A14" s="16" t="n">
        <v>10</v>
      </c>
      <c r="B14" s="15" t="s">
        <v>121</v>
      </c>
      <c r="C14" s="15" t="s">
        <v>122</v>
      </c>
      <c r="D14" s="15" t="s">
        <v>123</v>
      </c>
      <c r="E14" s="16" t="s">
        <v>89</v>
      </c>
      <c r="F14" s="16" t="s">
        <v>124</v>
      </c>
      <c r="G14" s="15"/>
    </row>
    <row r="15" customFormat="false" ht="15" hidden="false" customHeight="false" outlineLevel="0" collapsed="false">
      <c r="A15" s="16" t="n">
        <v>11</v>
      </c>
      <c r="B15" s="15" t="s">
        <v>125</v>
      </c>
      <c r="C15" s="15" t="s">
        <v>126</v>
      </c>
      <c r="D15" s="15" t="s">
        <v>127</v>
      </c>
      <c r="E15" s="16" t="s">
        <v>89</v>
      </c>
      <c r="F15" s="16" t="s">
        <v>124</v>
      </c>
      <c r="G15" s="15"/>
    </row>
    <row r="16" customFormat="false" ht="23.85" hidden="false" customHeight="false" outlineLevel="0" collapsed="false">
      <c r="A16" s="16" t="n">
        <v>12</v>
      </c>
      <c r="B16" s="15" t="s">
        <v>128</v>
      </c>
      <c r="C16" s="15" t="s">
        <v>129</v>
      </c>
      <c r="D16" s="15" t="s">
        <v>130</v>
      </c>
      <c r="E16" s="16" t="s">
        <v>89</v>
      </c>
      <c r="F16" s="16" t="s">
        <v>124</v>
      </c>
      <c r="G16" s="15"/>
    </row>
    <row r="17" customFormat="false" ht="15" hidden="false" customHeight="false" outlineLevel="0" collapsed="false">
      <c r="A17" s="16" t="n">
        <v>13</v>
      </c>
      <c r="B17" s="15" t="s">
        <v>131</v>
      </c>
      <c r="C17" s="15" t="s">
        <v>132</v>
      </c>
      <c r="D17" s="15" t="s">
        <v>133</v>
      </c>
      <c r="E17" s="16" t="s">
        <v>89</v>
      </c>
      <c r="F17" s="16" t="s">
        <v>124</v>
      </c>
      <c r="G17" s="15"/>
    </row>
    <row r="18" customFormat="false" ht="23.85" hidden="false" customHeight="false" outlineLevel="0" collapsed="false">
      <c r="A18" s="16" t="n">
        <v>14</v>
      </c>
      <c r="B18" s="15" t="s">
        <v>134</v>
      </c>
      <c r="C18" s="15" t="s">
        <v>135</v>
      </c>
      <c r="D18" s="15" t="s">
        <v>136</v>
      </c>
      <c r="E18" s="16" t="s">
        <v>89</v>
      </c>
      <c r="F18" s="16" t="s">
        <v>124</v>
      </c>
      <c r="G18" s="15"/>
    </row>
    <row r="19" customFormat="false" ht="15" hidden="false" customHeight="false" outlineLevel="0" collapsed="false">
      <c r="A19" s="16" t="n">
        <v>15</v>
      </c>
      <c r="B19" s="15" t="s">
        <v>137</v>
      </c>
      <c r="C19" s="15" t="s">
        <v>138</v>
      </c>
      <c r="D19" s="15" t="s">
        <v>139</v>
      </c>
      <c r="E19" s="16" t="s">
        <v>89</v>
      </c>
      <c r="F19" s="16" t="s">
        <v>124</v>
      </c>
      <c r="G19" s="15"/>
    </row>
    <row r="20" customFormat="false" ht="15" hidden="false" customHeight="false" outlineLevel="0" collapsed="false">
      <c r="A20" s="16" t="n">
        <v>16</v>
      </c>
      <c r="B20" s="15" t="s">
        <v>140</v>
      </c>
      <c r="C20" s="15" t="s">
        <v>141</v>
      </c>
      <c r="D20" s="15" t="s">
        <v>142</v>
      </c>
      <c r="E20" s="16" t="s">
        <v>89</v>
      </c>
      <c r="F20" s="16" t="s">
        <v>124</v>
      </c>
      <c r="G20" s="15"/>
    </row>
    <row r="21" customFormat="false" ht="23.85" hidden="false" customHeight="false" outlineLevel="0" collapsed="false">
      <c r="A21" s="16" t="n">
        <v>17</v>
      </c>
      <c r="B21" s="15" t="s">
        <v>143</v>
      </c>
      <c r="C21" s="15" t="s">
        <v>144</v>
      </c>
      <c r="D21" s="15" t="s">
        <v>145</v>
      </c>
      <c r="E21" s="16" t="s">
        <v>89</v>
      </c>
      <c r="F21" s="16" t="s">
        <v>124</v>
      </c>
      <c r="G21" s="15"/>
    </row>
    <row r="22" customFormat="false" ht="23.85" hidden="false" customHeight="false" outlineLevel="0" collapsed="false">
      <c r="A22" s="16" t="n">
        <v>18</v>
      </c>
      <c r="B22" s="15" t="s">
        <v>146</v>
      </c>
      <c r="C22" s="15" t="s">
        <v>147</v>
      </c>
      <c r="D22" s="15" t="s">
        <v>148</v>
      </c>
      <c r="E22" s="16" t="s">
        <v>89</v>
      </c>
      <c r="F22" s="16" t="s">
        <v>124</v>
      </c>
      <c r="G22" s="15"/>
    </row>
  </sheetData>
  <conditionalFormatting sqref="E5:E22">
    <cfRule type="cellIs" priority="2" operator="equal" aboveAverage="0" equalAverage="0" bottom="0" percent="0" rank="0" text="" dxfId="7">
      <formula>"Resolvido"</formula>
    </cfRule>
    <cfRule type="cellIs" priority="3" operator="equal" aboveAverage="0" equalAverage="0" bottom="0" percent="0" rank="0" text="" dxfId="9">
      <formula>"Pendente"</formula>
    </cfRule>
    <cfRule type="cellIs" priority="4" operator="equal" aboveAverage="0" equalAverage="0" bottom="0" percent="0" rank="0" text="" dxfId="10">
      <formula>"Adiado"</formula>
    </cfRule>
  </conditionalFormatting>
  <dataValidations count="1">
    <dataValidation allowBlank="false" errorStyle="stop" operator="between" showDropDown="false" showErrorMessage="false" showInputMessage="false" sqref="E5:E22" type="list">
      <formula1>"Pendente,Resolvido,Adiado"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6"/>
    <col collapsed="false" customWidth="true" hidden="false" outlineLevel="0" max="4" min="3" style="0" width="52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5" t="s">
        <v>81</v>
      </c>
      <c r="B4" s="5" t="s">
        <v>151</v>
      </c>
      <c r="C4" s="5" t="s">
        <v>152</v>
      </c>
      <c r="D4" s="5" t="s">
        <v>153</v>
      </c>
      <c r="E4" s="5" t="s">
        <v>154</v>
      </c>
      <c r="F4" s="5" t="s">
        <v>30</v>
      </c>
    </row>
    <row r="5" customFormat="false" ht="23.85" hidden="false" customHeight="false" outlineLevel="0" collapsed="false">
      <c r="A5" s="16" t="n">
        <v>1</v>
      </c>
      <c r="B5" s="15" t="s">
        <v>155</v>
      </c>
      <c r="C5" s="15" t="s">
        <v>156</v>
      </c>
      <c r="D5" s="15" t="s">
        <v>157</v>
      </c>
      <c r="E5" s="16" t="s">
        <v>158</v>
      </c>
      <c r="F5" s="15"/>
    </row>
    <row r="6" customFormat="false" ht="23.85" hidden="false" customHeight="false" outlineLevel="0" collapsed="false">
      <c r="A6" s="16" t="n">
        <v>2</v>
      </c>
      <c r="B6" s="15" t="s">
        <v>159</v>
      </c>
      <c r="C6" s="15" t="s">
        <v>160</v>
      </c>
      <c r="D6" s="15" t="s">
        <v>161</v>
      </c>
      <c r="E6" s="16" t="s">
        <v>158</v>
      </c>
      <c r="F6" s="15"/>
    </row>
    <row r="7" customFormat="false" ht="23.85" hidden="false" customHeight="false" outlineLevel="0" collapsed="false">
      <c r="A7" s="16" t="n">
        <v>3</v>
      </c>
      <c r="B7" s="15" t="s">
        <v>162</v>
      </c>
      <c r="C7" s="15" t="s">
        <v>163</v>
      </c>
      <c r="D7" s="15" t="s">
        <v>164</v>
      </c>
      <c r="E7" s="16" t="s">
        <v>158</v>
      </c>
      <c r="F7" s="15"/>
    </row>
    <row r="8" customFormat="false" ht="35.05" hidden="false" customHeight="false" outlineLevel="0" collapsed="false">
      <c r="A8" s="16" t="n">
        <v>4</v>
      </c>
      <c r="B8" s="15" t="s">
        <v>165</v>
      </c>
      <c r="C8" s="15" t="s">
        <v>166</v>
      </c>
      <c r="D8" s="15" t="s">
        <v>167</v>
      </c>
      <c r="E8" s="16" t="s">
        <v>158</v>
      </c>
      <c r="F8" s="15"/>
    </row>
    <row r="9" customFormat="false" ht="35.05" hidden="false" customHeight="false" outlineLevel="0" collapsed="false">
      <c r="A9" s="16" t="n">
        <v>5</v>
      </c>
      <c r="B9" s="15" t="s">
        <v>168</v>
      </c>
      <c r="C9" s="15" t="s">
        <v>169</v>
      </c>
      <c r="D9" s="15" t="s">
        <v>170</v>
      </c>
      <c r="E9" s="16" t="s">
        <v>158</v>
      </c>
      <c r="F9" s="15"/>
    </row>
    <row r="10" customFormat="false" ht="23.85" hidden="false" customHeight="false" outlineLevel="0" collapsed="false">
      <c r="A10" s="16" t="n">
        <v>6</v>
      </c>
      <c r="B10" s="15" t="s">
        <v>171</v>
      </c>
      <c r="C10" s="15" t="s">
        <v>172</v>
      </c>
      <c r="D10" s="15" t="s">
        <v>173</v>
      </c>
      <c r="E10" s="16" t="s">
        <v>174</v>
      </c>
      <c r="F10" s="15"/>
    </row>
    <row r="11" customFormat="false" ht="23.85" hidden="false" customHeight="false" outlineLevel="0" collapsed="false">
      <c r="A11" s="16" t="n">
        <v>7</v>
      </c>
      <c r="B11" s="15" t="s">
        <v>175</v>
      </c>
      <c r="C11" s="15" t="s">
        <v>176</v>
      </c>
      <c r="D11" s="15" t="s">
        <v>177</v>
      </c>
      <c r="E11" s="16" t="s">
        <v>174</v>
      </c>
      <c r="F11" s="15"/>
    </row>
    <row r="12" customFormat="false" ht="23.85" hidden="false" customHeight="false" outlineLevel="0" collapsed="false">
      <c r="A12" s="16" t="n">
        <v>8</v>
      </c>
      <c r="B12" s="15" t="s">
        <v>178</v>
      </c>
      <c r="C12" s="15" t="s">
        <v>179</v>
      </c>
      <c r="D12" s="15" t="s">
        <v>180</v>
      </c>
      <c r="E12" s="16" t="s">
        <v>174</v>
      </c>
      <c r="F12" s="15"/>
    </row>
    <row r="13" customFormat="false" ht="23.85" hidden="false" customHeight="false" outlineLevel="0" collapsed="false">
      <c r="A13" s="16" t="n">
        <v>9</v>
      </c>
      <c r="B13" s="15" t="s">
        <v>181</v>
      </c>
      <c r="C13" s="15" t="s">
        <v>182</v>
      </c>
      <c r="D13" s="15" t="s">
        <v>183</v>
      </c>
      <c r="E13" s="16" t="s">
        <v>174</v>
      </c>
      <c r="F13" s="15"/>
    </row>
    <row r="14" customFormat="false" ht="23.85" hidden="false" customHeight="false" outlineLevel="0" collapsed="false">
      <c r="A14" s="16" t="n">
        <v>10</v>
      </c>
      <c r="B14" s="15" t="s">
        <v>184</v>
      </c>
      <c r="C14" s="15" t="s">
        <v>185</v>
      </c>
      <c r="D14" s="15" t="s">
        <v>186</v>
      </c>
      <c r="E14" s="16" t="s">
        <v>187</v>
      </c>
      <c r="F14" s="15"/>
    </row>
    <row r="15" customFormat="false" ht="23.85" hidden="false" customHeight="false" outlineLevel="0" collapsed="false">
      <c r="A15" s="16" t="n">
        <v>11</v>
      </c>
      <c r="B15" s="15" t="s">
        <v>188</v>
      </c>
      <c r="C15" s="15" t="s">
        <v>189</v>
      </c>
      <c r="D15" s="15" t="s">
        <v>190</v>
      </c>
      <c r="E15" s="16" t="s">
        <v>174</v>
      </c>
      <c r="F15" s="15"/>
    </row>
    <row r="16" customFormat="false" ht="23.85" hidden="false" customHeight="false" outlineLevel="0" collapsed="false">
      <c r="A16" s="16" t="n">
        <v>12</v>
      </c>
      <c r="B16" s="15" t="s">
        <v>191</v>
      </c>
      <c r="C16" s="15" t="s">
        <v>192</v>
      </c>
      <c r="D16" s="15" t="s">
        <v>193</v>
      </c>
      <c r="E16" s="16" t="s">
        <v>158</v>
      </c>
      <c r="F16" s="15"/>
    </row>
  </sheetData>
  <conditionalFormatting sqref="E5:E16">
    <cfRule type="cellIs" priority="2" operator="equal" aboveAverage="0" equalAverage="0" bottom="0" percent="0" rank="0" text="" dxfId="8">
      <formula>"Em aberto"</formula>
    </cfRule>
    <cfRule type="cellIs" priority="3" operator="equal" aboveAverage="0" equalAverage="0" bottom="0" percent="0" rank="0" text="" dxfId="7">
      <formula>"Decidido"</formula>
    </cfRule>
    <cfRule type="cellIs" priority="4" operator="equal" aboveAverage="0" equalAverage="0" bottom="0" percent="0" rank="0" text="" dxfId="10">
      <formula>"Aceito"</formula>
    </cfRule>
  </conditionalFormatting>
  <dataValidations count="1">
    <dataValidation allowBlank="false" errorStyle="stop" operator="between" showDropDown="false" showErrorMessage="false" showInputMessage="false" sqref="E5:E16" type="list">
      <formula1>"Em aberto,Decidido,Aceito"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7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4" customFormat="false" ht="15" hidden="false" customHeight="false" outlineLevel="0" collapsed="false">
      <c r="A4" s="5" t="s">
        <v>196</v>
      </c>
      <c r="B4" s="5" t="s">
        <v>197</v>
      </c>
      <c r="C4" s="5" t="s">
        <v>198</v>
      </c>
      <c r="D4" s="5" t="s">
        <v>199</v>
      </c>
      <c r="E4" s="5" t="s">
        <v>30</v>
      </c>
      <c r="F4" s="5" t="s">
        <v>200</v>
      </c>
    </row>
    <row r="5" customFormat="false" ht="15" hidden="false" customHeight="false" outlineLevel="0" collapsed="false">
      <c r="A5" s="16" t="n">
        <v>1</v>
      </c>
      <c r="B5" s="17" t="s">
        <v>201</v>
      </c>
      <c r="C5" s="15" t="s">
        <v>202</v>
      </c>
      <c r="D5" s="16" t="s">
        <v>203</v>
      </c>
      <c r="E5" s="15"/>
      <c r="F5" s="16"/>
    </row>
    <row r="6" customFormat="false" ht="15" hidden="false" customHeight="false" outlineLevel="0" collapsed="false">
      <c r="A6" s="16" t="n">
        <v>2</v>
      </c>
      <c r="B6" s="17" t="s">
        <v>204</v>
      </c>
      <c r="C6" s="15" t="s">
        <v>205</v>
      </c>
      <c r="D6" s="16" t="s">
        <v>203</v>
      </c>
      <c r="E6" s="15"/>
      <c r="F6" s="16"/>
    </row>
    <row r="7" customFormat="false" ht="15" hidden="false" customHeight="false" outlineLevel="0" collapsed="false">
      <c r="A7" s="16" t="n">
        <v>3</v>
      </c>
      <c r="B7" s="17" t="s">
        <v>206</v>
      </c>
      <c r="C7" s="15" t="s">
        <v>207</v>
      </c>
      <c r="D7" s="16" t="s">
        <v>203</v>
      </c>
      <c r="E7" s="15"/>
      <c r="F7" s="16"/>
    </row>
    <row r="8" customFormat="false" ht="23.85" hidden="false" customHeight="false" outlineLevel="0" collapsed="false">
      <c r="A8" s="16" t="n">
        <v>4</v>
      </c>
      <c r="B8" s="17" t="s">
        <v>208</v>
      </c>
      <c r="C8" s="15" t="s">
        <v>209</v>
      </c>
      <c r="D8" s="16" t="s">
        <v>203</v>
      </c>
      <c r="E8" s="15"/>
      <c r="F8" s="16"/>
    </row>
    <row r="9" customFormat="false" ht="15" hidden="false" customHeight="false" outlineLevel="0" collapsed="false">
      <c r="A9" s="16" t="n">
        <v>5</v>
      </c>
      <c r="B9" s="17" t="s">
        <v>210</v>
      </c>
      <c r="C9" s="15" t="s">
        <v>211</v>
      </c>
      <c r="D9" s="16" t="s">
        <v>203</v>
      </c>
      <c r="E9" s="15"/>
      <c r="F9" s="16"/>
    </row>
    <row r="10" customFormat="false" ht="23.85" hidden="false" customHeight="false" outlineLevel="0" collapsed="false">
      <c r="A10" s="16" t="n">
        <v>6</v>
      </c>
      <c r="B10" s="17" t="s">
        <v>212</v>
      </c>
      <c r="C10" s="15" t="s">
        <v>213</v>
      </c>
      <c r="D10" s="16" t="s">
        <v>203</v>
      </c>
      <c r="E10" s="15"/>
      <c r="F10" s="16"/>
    </row>
    <row r="11" customFormat="false" ht="15" hidden="false" customHeight="false" outlineLevel="0" collapsed="false">
      <c r="A11" s="16" t="n">
        <v>7</v>
      </c>
      <c r="B11" s="17" t="s">
        <v>214</v>
      </c>
      <c r="C11" s="15" t="s">
        <v>215</v>
      </c>
      <c r="D11" s="16" t="s">
        <v>216</v>
      </c>
      <c r="E11" s="15"/>
      <c r="F11" s="16"/>
    </row>
    <row r="12" customFormat="false" ht="15" hidden="false" customHeight="false" outlineLevel="0" collapsed="false">
      <c r="A12" s="16" t="n">
        <v>8</v>
      </c>
      <c r="B12" s="17" t="s">
        <v>13</v>
      </c>
      <c r="C12" s="15" t="s">
        <v>217</v>
      </c>
      <c r="D12" s="16" t="s">
        <v>216</v>
      </c>
      <c r="E12" s="15"/>
      <c r="F12" s="16"/>
    </row>
    <row r="13" customFormat="false" ht="15" hidden="false" customHeight="false" outlineLevel="0" collapsed="false">
      <c r="A13" s="16" t="n">
        <v>9</v>
      </c>
      <c r="B13" s="17" t="s">
        <v>218</v>
      </c>
      <c r="C13" s="15" t="s">
        <v>219</v>
      </c>
      <c r="D13" s="16" t="s">
        <v>216</v>
      </c>
      <c r="E13" s="15"/>
      <c r="F13" s="16"/>
    </row>
    <row r="14" customFormat="false" ht="15" hidden="false" customHeight="false" outlineLevel="0" collapsed="false">
      <c r="A14" s="16" t="n">
        <v>10</v>
      </c>
      <c r="B14" s="17" t="s">
        <v>220</v>
      </c>
      <c r="C14" s="15" t="s">
        <v>221</v>
      </c>
      <c r="D14" s="16" t="s">
        <v>216</v>
      </c>
      <c r="E14" s="15"/>
      <c r="F14" s="16"/>
    </row>
  </sheetData>
  <conditionalFormatting sqref="D5:D14">
    <cfRule type="cellIs" priority="2" operator="equal" aboveAverage="0" equalAverage="0" bottom="0" percent="0" rank="0" text="" dxfId="7">
      <formula>"Sim"</formula>
    </cfRule>
    <cfRule type="cellIs" priority="3" operator="equal" aboveAverage="0" equalAverage="0" bottom="0" percent="0" rank="0" text="" dxfId="9">
      <formula>"Não"</formula>
    </cfRule>
  </conditionalFormatting>
  <dataValidations count="1">
    <dataValidation allowBlank="false" errorStyle="stop" operator="between" showDropDown="false" showErrorMessage="false" showInputMessage="false" sqref="D5:D1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222</v>
      </c>
    </row>
    <row r="3" customFormat="false" ht="15" hidden="false" customHeight="false" outlineLevel="0" collapsed="false">
      <c r="A3" s="5" t="s">
        <v>223</v>
      </c>
      <c r="B3" s="5" t="s">
        <v>224</v>
      </c>
      <c r="C3" s="5" t="s">
        <v>154</v>
      </c>
      <c r="D3" s="5" t="s">
        <v>225</v>
      </c>
    </row>
    <row r="4" customFormat="false" ht="15" hidden="false" customHeight="false" outlineLevel="0" collapsed="false">
      <c r="A4" s="17" t="s">
        <v>226</v>
      </c>
      <c r="B4" s="16" t="s">
        <v>227</v>
      </c>
      <c r="C4" s="15" t="s">
        <v>228</v>
      </c>
      <c r="D4" s="15" t="s">
        <v>229</v>
      </c>
    </row>
    <row r="5" customFormat="false" ht="15" hidden="false" customHeight="false" outlineLevel="0" collapsed="false">
      <c r="A5" s="17" t="s">
        <v>230</v>
      </c>
      <c r="B5" s="16" t="s">
        <v>231</v>
      </c>
      <c r="C5" s="15" t="s">
        <v>232</v>
      </c>
      <c r="D5" s="15" t="s">
        <v>233</v>
      </c>
    </row>
    <row r="6" customFormat="false" ht="15" hidden="false" customHeight="false" outlineLevel="0" collapsed="false">
      <c r="A6" s="17" t="s">
        <v>234</v>
      </c>
      <c r="B6" s="16" t="s">
        <v>235</v>
      </c>
      <c r="C6" s="15" t="s">
        <v>236</v>
      </c>
      <c r="D6" s="15" t="s">
        <v>237</v>
      </c>
    </row>
    <row r="7" customFormat="false" ht="15" hidden="false" customHeight="false" outlineLevel="0" collapsed="false">
      <c r="A7" s="17" t="s">
        <v>238</v>
      </c>
      <c r="B7" s="16" t="s">
        <v>239</v>
      </c>
      <c r="C7" s="15" t="s">
        <v>240</v>
      </c>
      <c r="D7" s="15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241</v>
      </c>
    </row>
    <row r="3" customFormat="false" ht="15" hidden="false" customHeight="false" outlineLevel="0" collapsed="false">
      <c r="A3" s="5" t="s">
        <v>242</v>
      </c>
      <c r="B3" s="5" t="s">
        <v>243</v>
      </c>
      <c r="C3" s="5" t="s">
        <v>244</v>
      </c>
      <c r="D3" s="5" t="s">
        <v>245</v>
      </c>
    </row>
    <row r="4" customFormat="false" ht="15" hidden="false" customHeight="false" outlineLevel="0" collapsed="false">
      <c r="A4" s="16" t="s">
        <v>246</v>
      </c>
      <c r="B4" s="16" t="s">
        <v>247</v>
      </c>
      <c r="C4" s="15" t="s">
        <v>248</v>
      </c>
      <c r="D4" s="15" t="s">
        <v>249</v>
      </c>
    </row>
    <row r="5" customFormat="false" ht="15" hidden="false" customHeight="false" outlineLevel="0" collapsed="false">
      <c r="A5" s="16" t="s">
        <v>250</v>
      </c>
      <c r="B5" s="16" t="s">
        <v>115</v>
      </c>
      <c r="C5" s="15" t="s">
        <v>251</v>
      </c>
      <c r="D5" s="15" t="s">
        <v>252</v>
      </c>
    </row>
    <row r="6" customFormat="false" ht="15" hidden="false" customHeight="false" outlineLevel="0" collapsed="false">
      <c r="A6" s="16" t="s">
        <v>250</v>
      </c>
      <c r="B6" s="16" t="s">
        <v>253</v>
      </c>
      <c r="C6" s="15" t="s">
        <v>251</v>
      </c>
      <c r="D6" s="15" t="s">
        <v>254</v>
      </c>
    </row>
    <row r="7" customFormat="false" ht="15" hidden="false" customHeight="false" outlineLevel="0" collapsed="false">
      <c r="A7" s="16" t="s">
        <v>250</v>
      </c>
      <c r="B7" s="16" t="s">
        <v>104</v>
      </c>
      <c r="C7" s="15" t="s">
        <v>251</v>
      </c>
      <c r="D7" s="15" t="s">
        <v>255</v>
      </c>
    </row>
    <row r="8" customFormat="false" ht="15" hidden="false" customHeight="false" outlineLevel="0" collapsed="false">
      <c r="A8" s="16" t="s">
        <v>250</v>
      </c>
      <c r="B8" s="16" t="s">
        <v>94</v>
      </c>
      <c r="C8" s="15" t="s">
        <v>251</v>
      </c>
      <c r="D8" s="15" t="s">
        <v>256</v>
      </c>
    </row>
    <row r="9" customFormat="false" ht="15" hidden="false" customHeight="false" outlineLevel="0" collapsed="false">
      <c r="A9" s="16" t="s">
        <v>250</v>
      </c>
      <c r="B9" s="16" t="s">
        <v>257</v>
      </c>
      <c r="C9" s="15" t="s">
        <v>251</v>
      </c>
      <c r="D9" s="15" t="s">
        <v>258</v>
      </c>
    </row>
    <row r="10" customFormat="false" ht="15" hidden="false" customHeight="false" outlineLevel="0" collapsed="false">
      <c r="A10" s="16" t="s">
        <v>250</v>
      </c>
      <c r="B10" s="16" t="s">
        <v>259</v>
      </c>
      <c r="C10" s="15" t="s">
        <v>251</v>
      </c>
      <c r="D10" s="15" t="s">
        <v>260</v>
      </c>
    </row>
    <row r="11" customFormat="false" ht="15" hidden="false" customHeight="false" outlineLevel="0" collapsed="false">
      <c r="A11" s="16" t="s">
        <v>261</v>
      </c>
      <c r="B11" s="16" t="s">
        <v>111</v>
      </c>
      <c r="C11" s="15" t="s">
        <v>251</v>
      </c>
      <c r="D11" s="15" t="s">
        <v>262</v>
      </c>
    </row>
    <row r="12" customFormat="false" ht="15" hidden="false" customHeight="false" outlineLevel="0" collapsed="false">
      <c r="A12" s="16" t="s">
        <v>261</v>
      </c>
      <c r="B12" s="16" t="s">
        <v>263</v>
      </c>
      <c r="C12" s="15" t="s">
        <v>251</v>
      </c>
      <c r="D12" s="15" t="s">
        <v>264</v>
      </c>
    </row>
    <row r="13" customFormat="false" ht="15" hidden="false" customHeight="false" outlineLevel="0" collapsed="false">
      <c r="A13" s="16" t="s">
        <v>261</v>
      </c>
      <c r="B13" s="16" t="s">
        <v>265</v>
      </c>
      <c r="C13" s="15" t="s">
        <v>251</v>
      </c>
      <c r="D13" s="15" t="s">
        <v>266</v>
      </c>
    </row>
    <row r="14" customFormat="false" ht="15" hidden="false" customHeight="false" outlineLevel="0" collapsed="false">
      <c r="A14" s="16" t="s">
        <v>261</v>
      </c>
      <c r="B14" s="16" t="s">
        <v>267</v>
      </c>
      <c r="C14" s="15" t="s">
        <v>251</v>
      </c>
      <c r="D14" s="15" t="s">
        <v>268</v>
      </c>
    </row>
    <row r="15" customFormat="false" ht="15" hidden="false" customHeight="false" outlineLevel="0" collapsed="false">
      <c r="A15" s="16" t="s">
        <v>261</v>
      </c>
      <c r="B15" s="16" t="s">
        <v>269</v>
      </c>
      <c r="C15" s="15" t="s">
        <v>251</v>
      </c>
      <c r="D15" s="15" t="s">
        <v>270</v>
      </c>
    </row>
    <row r="16" customFormat="false" ht="15" hidden="false" customHeight="false" outlineLevel="0" collapsed="false">
      <c r="A16" s="16" t="s">
        <v>271</v>
      </c>
      <c r="B16" s="16" t="s">
        <v>124</v>
      </c>
      <c r="C16" s="15" t="s">
        <v>251</v>
      </c>
      <c r="D16" s="1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2026-10-30T22:34:34Z</dcterms:created>
  <dc:creator>openpyxl</dc:creator>
  <dc:description/>
  <dc:language>en-US</dc:language>
  <cp:lastModifiedBy/>
  <dcterms:modified xsi:type="dcterms:W3CDTF">2026-10-30T22:34:34Z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